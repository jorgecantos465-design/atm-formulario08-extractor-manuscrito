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notificar" sheetId="1" state="visible" r:id="rId2"/>
    <sheet name="MAESTRO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<sst xmlns="http://schemas.openxmlformats.org/spreadsheetml/2006/main" count="86" uniqueCount="84">
  <si>
    <t xml:space="preserve">CUIT ADQUIRENTE</t>
  </si>
  <si>
    <t xml:space="preserve">NOMBRE ADQUIRENTE</t>
  </si>
  <si>
    <t xml:space="preserve">@nombre@</t>
  </si>
  <si>
    <t xml:space="preserve">EMAIL F 08 APARTADO D</t>
  </si>
  <si>
    <t xml:space="preserve">Remoto SI/NO/VACIO</t>
  </si>
  <si>
    <t xml:space="preserve">RESOLUCIÓN</t>
  </si>
  <si>
    <t xml:space="preserve">TRAMITE</t>
  </si>
  <si>
    <t xml:space="preserve">CUIT ADQUIRIENTE</t>
  </si>
  <si>
    <t xml:space="preserve">NOMBRE ADQUIRIENTE</t>
  </si>
  <si>
    <t xml:space="preserve">INICIADOR (TITULAR/SUPLENTE)</t>
  </si>
  <si>
    <t xml:space="preserve">CUIT INICIADOR</t>
  </si>
  <si>
    <t xml:space="preserve">CARÁCTER</t>
  </si>
  <si>
    <t xml:space="preserve">REGISTRO</t>
  </si>
  <si>
    <t xml:space="preserve">NRO FORMULARIO 08</t>
  </si>
  <si>
    <t xml:space="preserve">DOMINIO</t>
  </si>
  <si>
    <t xml:space="preserve">DOMICILIO ADQUIRIENTE</t>
  </si>
  <si>
    <t xml:space="preserve">Lugary Fecha de impresidn del OSD: </t>
  </si>
  <si>
    <t xml:space="preserve">MARCA, MODELO, TIPO (F.08/TOAD)</t>
  </si>
  <si>
    <t xml:space="preserve">MODELO (TAX-Año de fabricación)</t>
  </si>
  <si>
    <t xml:space="preserve">ANIO (TAX-Año de fabricación)</t>
  </si>
  <si>
    <t xml:space="preserve">CUIT VENDEDOR (f.08)</t>
  </si>
  <si>
    <t xml:space="preserve">NOMBRE VENDEDOR</t>
  </si>
  <si>
    <t xml:space="preserve">$ IMPUESTO</t>
  </si>
  <si>
    <t xml:space="preserve">$ INTERESES</t>
  </si>
  <si>
    <t xml:space="preserve">% MULTA (doble)</t>
  </si>
  <si>
    <t xml:space="preserve">$ MULTA</t>
  </si>
  <si>
    <t xml:space="preserve">TOTAL </t>
  </si>
  <si>
    <t xml:space="preserve">LETRA MULTA</t>
  </si>
  <si>
    <t xml:space="preserve">FECHA DE LIQUIDACIÓN (hoy)</t>
  </si>
  <si>
    <t xml:space="preserve">FECHA INICIO TRÁMITE</t>
  </si>
  <si>
    <t xml:space="preserve">PERÍODO F. 08</t>
  </si>
  <si>
    <t xml:space="preserve">AVALUO DNRPA (TOAD)</t>
  </si>
  <si>
    <t xml:space="preserve">MONTO OPERACION</t>
  </si>
  <si>
    <t xml:space="preserve">MAYOR VALOR</t>
  </si>
  <si>
    <t xml:space="preserve">ALÍCUOTA</t>
  </si>
  <si>
    <t xml:space="preserve">@usuario@</t>
  </si>
  <si>
    <t xml:space="preserve">@apellido@</t>
  </si>
  <si>
    <t xml:space="preserve">@email@</t>
  </si>
  <si>
    <t xml:space="preserve">@atributo6@</t>
  </si>
  <si>
    <t xml:space="preserve">@atributo7@</t>
  </si>
  <si>
    <t xml:space="preserve">@atributo8@</t>
  </si>
  <si>
    <t xml:space="preserve">@atributo9@</t>
  </si>
  <si>
    <t xml:space="preserve">@atributo10@</t>
  </si>
  <si>
    <t xml:space="preserve">@atributo11@</t>
  </si>
  <si>
    <t xml:space="preserve">@atributo12@</t>
  </si>
  <si>
    <t xml:space="preserve">@atributo13@</t>
  </si>
  <si>
    <t xml:space="preserve">@atributo14@</t>
  </si>
  <si>
    <t xml:space="preserve">@atributo15@</t>
  </si>
  <si>
    <t xml:space="preserve">@atributo16@</t>
  </si>
  <si>
    <t xml:space="preserve">@atributo17@</t>
  </si>
  <si>
    <t xml:space="preserve">@atributo18@</t>
  </si>
  <si>
    <t xml:space="preserve">@atributo19@</t>
  </si>
  <si>
    <t xml:space="preserve">@atributo20@</t>
  </si>
  <si>
    <t xml:space="preserve">@atributo21@</t>
  </si>
  <si>
    <t xml:space="preserve">@atributo22@</t>
  </si>
  <si>
    <t xml:space="preserve">@atributo23@</t>
  </si>
  <si>
    <t xml:space="preserve">@atributo24@</t>
  </si>
  <si>
    <t xml:space="preserve">@atributo25@</t>
  </si>
  <si>
    <t xml:space="preserve">@atributo26@</t>
  </si>
  <si>
    <t xml:space="preserve">@atributo27@</t>
  </si>
  <si>
    <t xml:space="preserve">@atributo28@</t>
  </si>
  <si>
    <t xml:space="preserve">@atributo29@</t>
  </si>
  <si>
    <t xml:space="preserve">@atributo30@</t>
  </si>
  <si>
    <t xml:space="preserve">@atributo31@</t>
  </si>
  <si>
    <t xml:space="preserve">@atributo32@</t>
  </si>
  <si>
    <t xml:space="preserve">@atributo33@</t>
  </si>
  <si>
    <t xml:space="preserve">@atributo34@</t>
  </si>
  <si>
    <t xml:space="preserve">@atributo35@</t>
  </si>
  <si>
    <t xml:space="preserve">TITULAR</t>
  </si>
  <si>
    <t xml:space="preserve"> NRO.  </t>
  </si>
  <si>
    <t xml:space="preserve">BOCCIA DE SAN MARTIN FEDERICA</t>
  </si>
  <si>
    <t xml:space="preserve">27-24946162-3</t>
  </si>
  <si>
    <t xml:space="preserve">VERGNIOL HUGO ARMANDO</t>
  </si>
  <si>
    <t xml:space="preserve">20-06900255-3</t>
  </si>
  <si>
    <t xml:space="preserve">GUARDIOLA FRANCISCO JAVIER</t>
  </si>
  <si>
    <t xml:space="preserve">20-14628672-1</t>
  </si>
  <si>
    <t xml:space="preserve">CHIZZOLI ALEJANDRO JAVIER</t>
  </si>
  <si>
    <t xml:space="preserve">20-17874481-0</t>
  </si>
  <si>
    <t xml:space="preserve">MAIALE ELISABETH SUSANA</t>
  </si>
  <si>
    <t xml:space="preserve">27-11177285-7</t>
  </si>
  <si>
    <t xml:space="preserve">ANTONACCI  RODOLFO  J</t>
  </si>
  <si>
    <t xml:space="preserve">20-11827412-2</t>
  </si>
  <si>
    <t xml:space="preserve">SANTIBAÑEZ SERGIO OMAR</t>
  </si>
  <si>
    <t xml:space="preserve">20-22027172-3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</si>
</sst>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#.00"/>
    <numFmt numFmtId="167" formatCode="dd/mm/yy"/>
    <numFmt numFmtId="168" formatCode="0.00%"/>
    <numFmt numFmtId="169" formatCode="General"/>
  </numFmts>
  <fonts count="9">
    <font>
      <sz val="12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</font>
    <font>
      <b val="true"/>
      <sz val="10"/>
      <color rgb="FF000000"/>
      <name val="Arial"/>
      <family val="2"/>
    </font>
    <font>
      <b val="true"/>
      <sz val="10"/>
      <name val="Arial"/>
      <family val="2"/>
    </font>
    <font>
      <b val="true"/>
      <sz val="12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4921875" defaultRowHeight="15" zeroHeight="false" outlineLevelRow="0" outlineLevelCol="0"/>
  <cols>
    <col collapsed="false" customWidth="true" hidden="false" outlineLevel="0" max="1" min="1" style="0" width="17.39"/>
    <col collapsed="false" customWidth="true" hidden="false" outlineLevel="0" max="2" min="2" style="0" width="21.07"/>
    <col collapsed="false" customWidth="true" hidden="false" outlineLevel="0" max="3" min="3" style="0" width="11.98"/>
    <col collapsed="false" customWidth="true" hidden="false" outlineLevel="0" max="4" min="4" style="0" width="22.34"/>
    <col collapsed="false" customWidth="true" hidden="false" outlineLevel="0" max="5" min="5" style="0" width="20.5"/>
    <col collapsed="false" customWidth="true" hidden="false" outlineLevel="0" max="7" min="6" style="0" width="13.13"/>
    <col collapsed="false" customWidth="true" hidden="false" outlineLevel="0" max="8" min="8" style="0" width="17.85"/>
    <col collapsed="false" customWidth="true" hidden="false" outlineLevel="0" max="9" min="9" style="0" width="21.53"/>
    <col collapsed="false" customWidth="true" hidden="false" outlineLevel="0" max="10" min="10" style="0" width="30.87"/>
    <col collapsed="false" customWidth="true" hidden="false" outlineLevel="0" max="11" min="11" style="0" width="14.97"/>
    <col collapsed="false" customWidth="true" hidden="false" outlineLevel="0" max="13" min="12" style="0" width="14.17"/>
    <col collapsed="false" customWidth="true" hidden="false" outlineLevel="0" max="14" min="14" style="0" width="19.8"/>
    <col collapsed="false" customWidth="true" hidden="false" outlineLevel="0" max="15" min="15" style="0" width="14.17"/>
    <col collapsed="false" customWidth="true" hidden="false" outlineLevel="0" max="16" min="16" style="0" width="22.92"/>
    <col collapsed="false" customWidth="true" hidden="false" outlineLevel="0" max="17" min="17" style="0" width="33.51"/>
    <col collapsed="false" customWidth="true" hidden="false" outlineLevel="0" max="18" min="18" style="0" width="31.55"/>
    <col collapsed="false" customWidth="true" hidden="false" outlineLevel="0" max="19" min="19" style="0" width="29.71"/>
    <col collapsed="false" customWidth="true" hidden="false" outlineLevel="0" max="20" min="20" style="0" width="26.48"/>
    <col collapsed="false" customWidth="true" hidden="false" outlineLevel="0" max="21" min="21" style="0" width="20.27"/>
    <col collapsed="false" customWidth="true" hidden="false" outlineLevel="0" max="22" min="22" style="0" width="19.46"/>
    <col collapsed="false" customWidth="true" hidden="false" outlineLevel="0" max="24" min="23" style="0" width="14.17"/>
    <col collapsed="false" customWidth="true" hidden="false" outlineLevel="0" max="25" min="25" style="0" width="15.09"/>
    <col collapsed="false" customWidth="true" hidden="false" outlineLevel="0" max="27" min="26" style="0" width="14.17"/>
    <col collapsed="false" customWidth="true" hidden="false" outlineLevel="0" max="28" min="28" style="0" width="21.31"/>
    <col collapsed="false" customWidth="true" hidden="false" outlineLevel="0" max="29" min="29" style="0" width="26.72"/>
    <col collapsed="false" customWidth="true" hidden="false" outlineLevel="0" max="30" min="30" style="0" width="21.07"/>
    <col collapsed="false" customWidth="true" hidden="false" outlineLevel="0" max="31" min="31" style="0" width="14.17"/>
    <col collapsed="false" customWidth="true" hidden="false" outlineLevel="0" max="32" min="32" style="0" width="21.53"/>
    <col collapsed="false" customWidth="true" hidden="false" outlineLevel="0" max="33" min="33" style="0" width="25.68"/>
    <col collapsed="false" customWidth="true" hidden="false" outlineLevel="0" max="35" min="34" style="0" width="14.17"/>
  </cols>
  <sheetData>
    <row r="1" s="2" customFormat="true" ht="17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3" t="s">
        <v>30</v>
      </c>
      <c r="AF1" s="5" t="s">
        <v>31</v>
      </c>
      <c r="AG1" s="6" t="s">
        <v>32</v>
      </c>
      <c r="AH1" s="6" t="s">
        <v>33</v>
      </c>
      <c r="AI1" s="5" t="s">
        <v>34</v>
      </c>
      <c r="AN1" s="7"/>
    </row>
    <row r="2" s="8" customFormat="true" ht="19" hidden="false" customHeight="true" outlineLevel="0" collapsed="false">
      <c r="A2" s="8" t="s">
        <v>35</v>
      </c>
      <c r="B2" s="8" t="s">
        <v>36</v>
      </c>
      <c r="C2" s="8" t="s">
        <v>2</v>
      </c>
      <c r="D2" s="8" t="s">
        <v>37</v>
      </c>
      <c r="E2" s="8" t="s">
        <v>4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45</v>
      </c>
      <c r="N2" s="8" t="s">
        <v>46</v>
      </c>
      <c r="O2" s="8" t="s">
        <v>47</v>
      </c>
      <c r="P2" s="8" t="s">
        <v>48</v>
      </c>
      <c r="Q2" s="8" t="s">
        <v>49</v>
      </c>
      <c r="R2" s="8" t="s">
        <v>50</v>
      </c>
      <c r="S2" s="8" t="s">
        <v>51</v>
      </c>
      <c r="T2" s="8" t="s">
        <v>52</v>
      </c>
      <c r="U2" s="8" t="s">
        <v>53</v>
      </c>
      <c r="V2" s="8" t="s">
        <v>54</v>
      </c>
      <c r="W2" s="8" t="s">
        <v>55</v>
      </c>
      <c r="X2" s="8" t="s">
        <v>56</v>
      </c>
      <c r="Y2" s="8" t="s">
        <v>57</v>
      </c>
      <c r="Z2" s="8" t="s">
        <v>58</v>
      </c>
      <c r="AA2" s="8" t="s">
        <v>59</v>
      </c>
      <c r="AB2" s="8" t="s">
        <v>60</v>
      </c>
      <c r="AC2" s="8" t="s">
        <v>61</v>
      </c>
      <c r="AD2" s="8" t="s">
        <v>62</v>
      </c>
      <c r="AE2" s="8" t="s">
        <v>63</v>
      </c>
      <c r="AF2" s="8" t="s">
        <v>64</v>
      </c>
      <c r="AG2" s="8" t="s">
        <v>65</v>
      </c>
      <c r="AH2" s="8" t="s">
        <v>66</v>
      </c>
      <c r="AI2" s="8" t="s">
        <v>67</v>
      </c>
    </row>
    <row r="3" customFormat="false" ht="15" hidden="false" customHeight="false" outlineLevel="0" collapsed="false">
      <c r="K3" s="0" t="str">
        <f aca="false">IFERROR(VLOOKUP(J3,MAESTRO!A:B,2,0),"")</f>
        <v/>
      </c>
      <c r="L3" s="9" t="s">
        <v>68</v>
      </c>
      <c r="M3" s="9" t="s">
        <v>69</v>
      </c>
      <c r="Q3" s="10"/>
      <c r="Y3" s="11" t="n">
        <v>1</v>
      </c>
      <c r="AA3" s="0" t="n">
        <f aca="false">+Z3+X3+W3</f>
        <v>0</v>
      </c>
      <c r="AB3" s="0" t="e">
        <f aca="false">NUMEROALETRAS(Z3)</f>
        <v>#VALUE!</v>
      </c>
      <c r="AC3" s="10" t="n">
        <f aca="false">+Q3</f>
        <v>0</v>
      </c>
      <c r="AD3" s="10" t="n">
        <f aca="false">+Q3</f>
        <v>0</v>
      </c>
      <c r="AE3" s="0" t="str">
        <f aca="false">TEXT(AC3,"mm/aaaa")</f>
        <v>12/1899</v>
      </c>
      <c r="AH3" s="12" t="n">
        <f aca="false">+IF(AF3&gt;AG3,AF3,AG3)</f>
        <v>0</v>
      </c>
      <c r="AI3" s="13" t="n">
        <v>1.25</v>
      </c>
    </row>
  </sheetData>
  <dataValidations count="1">
    <dataValidation allowBlank="true" operator="equal" showDropDown="false" showErrorMessage="true" showInputMessage="false" sqref="J3" type="list">
      <formula1>MAESTRO!$A$1:$A$10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4921875" defaultRowHeight="12.8" zeroHeight="false" outlineLevelRow="0" outlineLevelCol="0"/>
  <cols>
    <col collapsed="false" customWidth="true" hidden="false" outlineLevel="0" max="1" min="1" style="0" width="31.28"/>
    <col collapsed="false" customWidth="true" hidden="false" outlineLevel="0" max="2" min="2" style="0" width="14.56"/>
  </cols>
  <sheetData>
    <row r="1" customFormat="false" ht="15" hidden="false" customHeight="false" outlineLevel="0" collapsed="false">
      <c r="A1" s="14" t="s">
        <v>70</v>
      </c>
      <c r="B1" s="14" t="s">
        <v>71</v>
      </c>
    </row>
    <row r="2" customFormat="false" ht="15" hidden="false" customHeight="false" outlineLevel="0" collapsed="false">
      <c r="A2" s="0" t="s">
        <v>72</v>
      </c>
      <c r="B2" s="0" t="s">
        <v>73</v>
      </c>
    </row>
    <row r="3" customFormat="false" ht="15" hidden="false" customHeight="false" outlineLevel="0" collapsed="false">
      <c r="A3" s="0" t="s">
        <v>74</v>
      </c>
      <c r="B3" s="0" t="s">
        <v>75</v>
      </c>
    </row>
    <row r="4" customFormat="false" ht="15" hidden="false" customHeight="false" outlineLevel="0" collapsed="false">
      <c r="A4" s="0" t="s">
        <v>76</v>
      </c>
      <c r="B4" s="0" t="s">
        <v>77</v>
      </c>
    </row>
    <row r="5" customFormat="false" ht="15" hidden="false" customHeight="false" outlineLevel="0" collapsed="false">
      <c r="A5" s="0" t="s">
        <v>78</v>
      </c>
      <c r="B5" s="0" t="s">
        <v>79</v>
      </c>
    </row>
    <row r="6" customFormat="false" ht="15" hidden="false" customHeight="false" outlineLevel="0" collapsed="false">
      <c r="A6" s="0" t="s">
        <v>80</v>
      </c>
      <c r="B6" s="0" t="s">
        <v>81</v>
      </c>
    </row>
    <row r="7" customFormat="false" ht="15" hidden="false" customHeight="false" outlineLevel="0" collapsed="false">
      <c r="A7" s="0" t="s">
        <v>82</v>
      </c>
      <c r="B7" s="0" t="s">
        <v>83</v>
      </c>
    </row>
    <row r="8" customFormat="false" ht="15" hidden="false" customHeight="false" outlineLevel="0" collapsed="false"/>
    <row r="9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4921875" defaultRowHeight="12.8" zeroHeight="false" outlineLevelRow="0" outlineLevelCol="0"/>
  <cols>
    <col collapsed="false" customWidth="true" hidden="false" outlineLevel="0" max="2" min="2" style="0" width="11.87"/>
  </cols>
  <sheetData>
    <row r="1" customFormat="false" ht="37.3" hidden="false" customHeight="false" outlineLevel="0" collapsed="false">
      <c r="A1" s="0" t="str">
        <f aca="false">"Se remite el presente expediente electrónico a efectos de notificar la Resolución por pago por insistencia del Impuesto de Sellos que se adjunta en orden 3, a " &amp; notificar!I3 &amp; ", en el domicilio " &amp; notificar!P3 &amp; "." &amp; CHAR(10) &amp; CHAR(10) &amp; "Cumplido, vuelva."</f>
        <v>Se remite el presente expediente electrónico a efectos de notificar la Resolución por pago por insistencia del Impuesto de Sellos que se adjunta en orden 3, a , en el domicilio .
Cumplido, vuelva.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2023-03-06T12:37:26Z</dcterms:created>
  <dc:creator>Microsoft Office User</dc:creator>
  <dc:description/>
  <dc:language>es-AR</dc:language>
  <cp:lastModifiedBy/>
  <dcterms:modified xsi:type="dcterms:W3CDTF">2026-05-07T12:29:27Z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